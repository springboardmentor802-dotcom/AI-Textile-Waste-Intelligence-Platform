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Test Shee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<sst xmlns="http://schemas.openxmlformats.org/spreadsheetml/2006/main" count="224" uniqueCount="171">
  <si>
    <t xml:space="preserve">AI Textile Waste Management System — QA Test Sheet (Milestone 4)</t>
  </si>
  <si>
    <t xml:space="preserve">Automated regression suite: 29 tests passing (26 original + 3 added for validation fix)</t>
  </si>
  <si>
    <t xml:space="preserve">Test Case ID</t>
  </si>
  <si>
    <t xml:space="preserve">Module / Endpoint</t>
  </si>
  <si>
    <t xml:space="preserve">Description</t>
  </si>
  <si>
    <t xml:space="preserve">Steps</t>
  </si>
  <si>
    <t xml:space="preserve">Expected Result</t>
  </si>
  <si>
    <t xml:space="preserve">Actual Result</t>
  </si>
  <si>
    <t xml:space="preserve">Status</t>
  </si>
  <si>
    <t xml:space="preserve">Notes</t>
  </si>
  <si>
    <t xml:space="preserve">TC_AUTH_001</t>
  </si>
  <si>
    <t xml:space="preserve">POST /api/register/</t>
  </si>
  <si>
    <t xml:space="preserve">Register a new user with valid data</t>
  </si>
  <si>
    <t xml:space="preserve">Send valid username/password/email to /register/</t>
  </si>
  <si>
    <t xml:space="preserve">User created, 201 response</t>
  </si>
  <si>
    <t xml:space="preserve">User created successfully</t>
  </si>
  <si>
    <t xml:space="preserve">Pass</t>
  </si>
  <si>
    <t xml:space="preserve">TC_AUTH_002</t>
  </si>
  <si>
    <t xml:space="preserve">POST /api/token/</t>
  </si>
  <si>
    <t xml:space="preserve">Login with valid credentials</t>
  </si>
  <si>
    <t xml:space="preserve">Send correct username/password</t>
  </si>
  <si>
    <t xml:space="preserve">Returns access + refresh JWT tokens</t>
  </si>
  <si>
    <t xml:space="preserve">Tokens returned as expected</t>
  </si>
  <si>
    <t xml:space="preserve">TC_AUTH_003</t>
  </si>
  <si>
    <t xml:space="preserve">Login with invalid credentials</t>
  </si>
  <si>
    <t xml:space="preserve">Send wrong password</t>
  </si>
  <si>
    <t xml:space="preserve">401 Unauthorized, no token issued</t>
  </si>
  <si>
    <t xml:space="preserve">401 returned correctly</t>
  </si>
  <si>
    <t xml:space="preserve">TC_AUTH_004</t>
  </si>
  <si>
    <t xml:space="preserve">GET /api/me/</t>
  </si>
  <si>
    <t xml:space="preserve">Fetch current user profile</t>
  </si>
  <si>
    <t xml:space="preserve">Call /me/ with valid JWT</t>
  </si>
  <si>
    <t xml:space="preserve">Returns username, email, role</t>
  </si>
  <si>
    <t xml:space="preserve">Returned correctly</t>
  </si>
  <si>
    <t xml:space="preserve">TC_INV_001</t>
  </si>
  <si>
    <t xml:space="preserve">POST /api/textiles/</t>
  </si>
  <si>
    <t xml:space="preserve">Create waste batch with valid data</t>
  </si>
  <si>
    <t xml:space="preserve">Submit valid material/quantity/color/source</t>
  </si>
  <si>
    <t xml:space="preserve">Batch created with generated batch_id</t>
  </si>
  <si>
    <t xml:space="preserve">Created as expected</t>
  </si>
  <si>
    <t xml:space="preserve">TC_INV_002</t>
  </si>
  <si>
    <t xml:space="preserve">GET /api/textiles/?material=Cotton</t>
  </si>
  <si>
    <t xml:space="preserve">Filter inventory by material</t>
  </si>
  <si>
    <t xml:space="preserve">Call textiles list with material query param</t>
  </si>
  <si>
    <t xml:space="preserve">Only Cotton batches returned</t>
  </si>
  <si>
    <t xml:space="preserve">Filter worked correctly</t>
  </si>
  <si>
    <t xml:space="preserve">TC_INV_003</t>
  </si>
  <si>
    <t xml:space="preserve">PATCH /api/textiles/{id}/</t>
  </si>
  <si>
    <t xml:space="preserve">Update batch status</t>
  </si>
  <si>
    <t xml:space="preserve">Change status field to 'Processed'</t>
  </si>
  <si>
    <t xml:space="preserve">Status updated, 200 response</t>
  </si>
  <si>
    <t xml:space="preserve">Updated successfully</t>
  </si>
  <si>
    <t xml:space="preserve">TC_INV_004</t>
  </si>
  <si>
    <t xml:space="preserve">DELETE /api/textiles/{id}/</t>
  </si>
  <si>
    <t xml:space="preserve">Delete a waste batch</t>
  </si>
  <si>
    <t xml:space="preserve">Delete existing batch by id</t>
  </si>
  <si>
    <t xml:space="preserve">Batch removed, 204 response</t>
  </si>
  <si>
    <t xml:space="preserve">Deleted successfully</t>
  </si>
  <si>
    <t xml:space="preserve">TC_INV_005</t>
  </si>
  <si>
    <t xml:space="preserve">GET /api/inventory-summary/</t>
  </si>
  <si>
    <t xml:space="preserve">Aggregate inventory summary</t>
  </si>
  <si>
    <t xml:space="preserve">Call summary endpoint with several batches present</t>
  </si>
  <si>
    <t xml:space="preserve">Correct total_batches, total_quantity, breakdowns</t>
  </si>
  <si>
    <t xml:space="preserve">Totals matched manual calculation</t>
  </si>
  <si>
    <t xml:space="preserve">TC_IMG_001</t>
  </si>
  <si>
    <t xml:space="preserve">POST /api/analyze-image/</t>
  </si>
  <si>
    <t xml:space="preserve">Analyze a valid JPG image</t>
  </si>
  <si>
    <t xml:space="preserve">Upload valid .jpg under 10MB</t>
  </si>
  <si>
    <t xml:space="preserve">Returns color, brightness, texture, contamination check</t>
  </si>
  <si>
    <t xml:space="preserve">TC_IMG_002</t>
  </si>
  <si>
    <t xml:space="preserve">Upload an invalid file type (e.g. .txt/.pdf)</t>
  </si>
  <si>
    <t xml:space="preserve">Upload a non-image file as 'image'</t>
  </si>
  <si>
    <t xml:space="preserve">400 error with clear validation message</t>
  </si>
  <si>
    <t xml:space="preserve">BUG (found): server raised unhandled 500 crash instead of clean 400 error</t>
  </si>
  <si>
    <t xml:space="preserve">Fixed</t>
  </si>
  <si>
    <t xml:space="preserve">Fixed via validate_image_file(); added ALLOWED_IMAGE_TYPES check. Retested — now returns 400 with message.</t>
  </si>
  <si>
    <t xml:space="preserve">TC_IMG_003</t>
  </si>
  <si>
    <t xml:space="preserve">Upload an oversized image (&gt;10MB)</t>
  </si>
  <si>
    <t xml:space="preserve">Upload image file larger than 10MB</t>
  </si>
  <si>
    <t xml:space="preserve">400 error: 'File too large. Maximum allowed size is 10MB.'</t>
  </si>
  <si>
    <t xml:space="preserve">BUG (found): no size check existed; large file passed through and slowed down/crashed processing</t>
  </si>
  <si>
    <t xml:space="preserve">Fixed via MAX_IMAGE_SIZE_BYTES check in validate_image_file(). Retested — now returns 400 correctly.</t>
  </si>
  <si>
    <t xml:space="preserve">TC_MAT_001</t>
  </si>
  <si>
    <t xml:space="preserve">POST /api/classify-material/</t>
  </si>
  <si>
    <t xml:space="preserve">Classify material for a valid fabric image</t>
  </si>
  <si>
    <t xml:space="preserve">Upload valid image of a known fabric</t>
  </si>
  <si>
    <t xml:space="preserve">Returns predicted_fiber_type + confidence score</t>
  </si>
  <si>
    <t xml:space="preserve">Returned correctly (e.g. 99.37% confidence)</t>
  </si>
  <si>
    <t xml:space="preserve">TC_MAT_002</t>
  </si>
  <si>
    <t xml:space="preserve">Classify material with missing image</t>
  </si>
  <si>
    <t xml:space="preserve">Send request without 'image' field</t>
  </si>
  <si>
    <t xml:space="preserve">400 error: 'No image file provided'</t>
  </si>
  <si>
    <t xml:space="preserve">TC_CAT_001</t>
  </si>
  <si>
    <t xml:space="preserve">POST /api/categorize-waste/</t>
  </si>
  <si>
    <t xml:space="preserve">Categorize waste with valid inputs</t>
  </si>
  <si>
    <t xml:space="preserve">Send fabric_type + condition, no contamination</t>
  </si>
  <si>
    <t xml:space="preserve">Returns one of the 6 valid waste categories + reason</t>
  </si>
  <si>
    <t xml:space="preserve">TC_CAT_002</t>
  </si>
  <si>
    <t xml:space="preserve">Categorize contaminated waste</t>
  </si>
  <si>
    <t xml:space="preserve">Send fabric_type + condition + contamination_suspected=True</t>
  </si>
  <si>
    <t xml:space="preserve">Category reflects contamination (e.g. Hazardous)</t>
  </si>
  <si>
    <t xml:space="preserve">TC_CAT_003</t>
  </si>
  <si>
    <t xml:space="preserve">Missing required fields</t>
  </si>
  <si>
    <t xml:space="preserve">Omit fabric_type from request</t>
  </si>
  <si>
    <t xml:space="preserve">400 error: required field message</t>
  </si>
  <si>
    <t xml:space="preserve">TC_REC_001</t>
  </si>
  <si>
    <t xml:space="preserve">POST /api/assess-recyclability/</t>
  </si>
  <si>
    <t xml:space="preserve">Calculate circularity score</t>
  </si>
  <si>
    <t xml:space="preserve">Send valid fabric_type + condition</t>
  </si>
  <si>
    <t xml:space="preserve">Returns circularity_score, category, sub-score breakdown</t>
  </si>
  <si>
    <t xml:space="preserve">TC_REP_001</t>
  </si>
  <si>
    <t xml:space="preserve">POST /api/waste-report/</t>
  </si>
  <si>
    <t xml:space="preserve">Generate combined JSON report</t>
  </si>
  <si>
    <t xml:space="preserve">Upload valid image + condition</t>
  </si>
  <si>
    <t xml:space="preserve">Returns combined output of all 4 engines</t>
  </si>
  <si>
    <t xml:space="preserve">TC_REP_002</t>
  </si>
  <si>
    <t xml:space="preserve">Missing condition field</t>
  </si>
  <si>
    <t xml:space="preserve">Upload image without condition field</t>
  </si>
  <si>
    <t xml:space="preserve">400 error: both image and condition required</t>
  </si>
  <si>
    <t xml:space="preserve">TC_REP_003</t>
  </si>
  <si>
    <t xml:space="preserve">POST /api/waste-report-pdf/</t>
  </si>
  <si>
    <t xml:space="preserve">Generate downloadable PDF report</t>
  </si>
  <si>
    <t xml:space="preserve">Returns PDF file as attachment</t>
  </si>
  <si>
    <t xml:space="preserve">PDF generated and downloadable</t>
  </si>
  <si>
    <t xml:space="preserve">TC_BATCH_001</t>
  </si>
  <si>
    <t xml:space="preserve">POST /api/batch-waste-report-pdf/</t>
  </si>
  <si>
    <t xml:space="preserve">Batch analysis with multiple images</t>
  </si>
  <si>
    <t xml:space="preserve">Upload 3 images + one condition value</t>
  </si>
  <si>
    <t xml:space="preserve">One combined PDF with summary + per-item detail</t>
  </si>
  <si>
    <t xml:space="preserve">TC_BATCH_002</t>
  </si>
  <si>
    <t xml:space="preserve">Batch analysis with invalid file in the set</t>
  </si>
  <si>
    <t xml:space="preserve">Upload 2 valid images + 1 invalid file type</t>
  </si>
  <si>
    <t xml:space="preserve">400 error naming the specific invalid file</t>
  </si>
  <si>
    <t xml:space="preserve">TC_LINK_001</t>
  </si>
  <si>
    <t xml:space="preserve">POST /api/analyze-and-link/{batch_id}/</t>
  </si>
  <si>
    <t xml:space="preserve">Link AI analysis to an existing batch</t>
  </si>
  <si>
    <t xml:space="preserve">Upload image for a known batch_id</t>
  </si>
  <si>
    <t xml:space="preserve">Batch updated with detected_material, circularity_score, waste_category</t>
  </si>
  <si>
    <t xml:space="preserve">TC_LINK_002</t>
  </si>
  <si>
    <t xml:space="preserve">Link analysis to non-existent batch</t>
  </si>
  <si>
    <t xml:space="preserve">Call endpoint with an invalid/unknown batch_id</t>
  </si>
  <si>
    <t xml:space="preserve">404 error: 'Batch not found.'</t>
  </si>
  <si>
    <t xml:space="preserve">TC_NOTIF_001</t>
  </si>
  <si>
    <t xml:space="preserve">GET /api/notifications/</t>
  </si>
  <si>
    <t xml:space="preserve">List notifications for logged-in user</t>
  </si>
  <si>
    <t xml:space="preserve">Call endpoint with valid JWT after a batch is created</t>
  </si>
  <si>
    <t xml:space="preserve">Returns list scoped to that user only</t>
  </si>
  <si>
    <t xml:space="preserve">TC_NOTIF_002</t>
  </si>
  <si>
    <t xml:space="preserve">PATCH /api/notifications/{id}/</t>
  </si>
  <si>
    <t xml:space="preserve">Mark a notification as read</t>
  </si>
  <si>
    <t xml:space="preserve">PATCH an existing notification belonging to the user</t>
  </si>
  <si>
    <t xml:space="preserve">is_read set to true, 200 response</t>
  </si>
  <si>
    <t xml:space="preserve">Updated correctly</t>
  </si>
  <si>
    <t xml:space="preserve">TC_NOTIF_003</t>
  </si>
  <si>
    <t xml:space="preserve">GET /api/notifications/unread-count/</t>
  </si>
  <si>
    <t xml:space="preserve">Get unread notification count</t>
  </si>
  <si>
    <t xml:space="preserve">Call endpoint after several unread notifications exist</t>
  </si>
  <si>
    <t xml:space="preserve">Returns correct count as integer</t>
  </si>
  <si>
    <t xml:space="preserve">TC_AUTHZ_001</t>
  </si>
  <si>
    <t xml:space="preserve">Non-privileged role attempts to create a batch</t>
  </si>
  <si>
    <t xml:space="preserve">Call endpoint as a role without IsRecyclingOperatorOrAdmin permission</t>
  </si>
  <si>
    <t xml:space="preserve">403 Forbidden</t>
  </si>
  <si>
    <t xml:space="preserve">QA Summary — Milestone 4</t>
  </si>
  <si>
    <t xml:space="preserve">Total test cases documented</t>
  </si>
  <si>
    <t xml:space="preserve">Total automated tests (pytest/manage.py test)</t>
  </si>
  <si>
    <t xml:space="preserve">Bugs found</t>
  </si>
  <si>
    <t xml:space="preserve">Bugs fixed &amp; retested</t>
  </si>
  <si>
    <t xml:space="preserve">Pass status count</t>
  </si>
  <si>
    <t xml:space="preserve">Fixed status count</t>
  </si>
  <si>
    <t xml:space="preserve">Fail status count (open)</t>
  </si>
  <si>
    <t xml:space="preserve">Note: Bug details (TC_IMG_002, TC_IMG_003) are documented in the QA Test Sheet tab, including root cause and fix applied.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</si>
</sst>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6" min="4" style="0" width="34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 t="s">
        <v>16</v>
      </c>
      <c r="H5" s="4"/>
    </row>
    <row r="6" customFormat="false" ht="15" hidden="false" customHeight="false" outlineLevel="0" collapsed="false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5" t="s">
        <v>16</v>
      </c>
      <c r="H6" s="4"/>
    </row>
    <row r="7" customFormat="false" ht="15" hidden="false" customHeight="false" outlineLevel="0" collapsed="false">
      <c r="A7" s="4" t="s">
        <v>23</v>
      </c>
      <c r="B7" s="4" t="s">
        <v>18</v>
      </c>
      <c r="C7" s="4" t="s">
        <v>24</v>
      </c>
      <c r="D7" s="4" t="s">
        <v>25</v>
      </c>
      <c r="E7" s="4" t="s">
        <v>26</v>
      </c>
      <c r="F7" s="4" t="s">
        <v>27</v>
      </c>
      <c r="G7" s="5" t="s">
        <v>16</v>
      </c>
      <c r="H7" s="4"/>
    </row>
    <row r="8" customFormat="false" ht="15" hidden="false" customHeight="false" outlineLevel="0" collapsed="false">
      <c r="A8" s="4" t="s">
        <v>28</v>
      </c>
      <c r="B8" s="4" t="s">
        <v>29</v>
      </c>
      <c r="C8" s="4" t="s">
        <v>30</v>
      </c>
      <c r="D8" s="4" t="s">
        <v>31</v>
      </c>
      <c r="E8" s="4" t="s">
        <v>32</v>
      </c>
      <c r="F8" s="4" t="s">
        <v>33</v>
      </c>
      <c r="G8" s="5" t="s">
        <v>16</v>
      </c>
      <c r="H8" s="4"/>
    </row>
    <row r="9" customFormat="false" ht="23.85" hidden="false" customHeight="false" outlineLevel="0" collapsed="false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5" t="s">
        <v>16</v>
      </c>
      <c r="H9" s="4"/>
    </row>
    <row r="10" customFormat="false" ht="23.85" hidden="false" customHeight="false" outlineLevel="0" collapsed="false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  <c r="G10" s="5" t="s">
        <v>16</v>
      </c>
      <c r="H10" s="4"/>
    </row>
    <row r="11" customFormat="false" ht="15" hidden="false" customHeight="false" outlineLevel="0" collapsed="false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5" t="s">
        <v>16</v>
      </c>
      <c r="H11" s="4"/>
    </row>
    <row r="12" customFormat="false" ht="15" hidden="false" customHeight="false" outlineLevel="0" collapsed="false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57</v>
      </c>
      <c r="G12" s="5" t="s">
        <v>16</v>
      </c>
      <c r="H12" s="4"/>
    </row>
    <row r="13" customFormat="false" ht="23.85" hidden="false" customHeight="false" outlineLevel="0" collapsed="false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  <c r="G13" s="5" t="s">
        <v>16</v>
      </c>
      <c r="H13" s="4"/>
    </row>
    <row r="14" customFormat="false" ht="23.85" hidden="false" customHeight="false" outlineLevel="0" collapsed="false">
      <c r="A14" s="4" t="s">
        <v>64</v>
      </c>
      <c r="B14" s="4" t="s">
        <v>65</v>
      </c>
      <c r="C14" s="4" t="s">
        <v>66</v>
      </c>
      <c r="D14" s="4" t="s">
        <v>67</v>
      </c>
      <c r="E14" s="4" t="s">
        <v>68</v>
      </c>
      <c r="F14" s="4" t="s">
        <v>33</v>
      </c>
      <c r="G14" s="5" t="s">
        <v>16</v>
      </c>
      <c r="H14" s="4"/>
    </row>
    <row r="15" customFormat="false" ht="35.05" hidden="false" customHeight="false" outlineLevel="0" collapsed="false">
      <c r="A15" s="4" t="s">
        <v>69</v>
      </c>
      <c r="B15" s="4" t="s">
        <v>65</v>
      </c>
      <c r="C15" s="4" t="s">
        <v>70</v>
      </c>
      <c r="D15" s="4" t="s">
        <v>71</v>
      </c>
      <c r="E15" s="4" t="s">
        <v>72</v>
      </c>
      <c r="F15" s="4" t="s">
        <v>73</v>
      </c>
      <c r="G15" s="6" t="s">
        <v>74</v>
      </c>
      <c r="H15" s="4" t="s">
        <v>75</v>
      </c>
    </row>
    <row r="16" customFormat="false" ht="35.05" hidden="false" customHeight="false" outlineLevel="0" collapsed="false">
      <c r="A16" s="4" t="s">
        <v>76</v>
      </c>
      <c r="B16" s="4" t="s">
        <v>65</v>
      </c>
      <c r="C16" s="4" t="s">
        <v>77</v>
      </c>
      <c r="D16" s="4" t="s">
        <v>78</v>
      </c>
      <c r="E16" s="4" t="s">
        <v>79</v>
      </c>
      <c r="F16" s="4" t="s">
        <v>80</v>
      </c>
      <c r="G16" s="6" t="s">
        <v>74</v>
      </c>
      <c r="H16" s="4" t="s">
        <v>81</v>
      </c>
    </row>
    <row r="17" customFormat="false" ht="23.85" hidden="false" customHeight="false" outlineLevel="0" collapsed="false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86</v>
      </c>
      <c r="F17" s="4" t="s">
        <v>87</v>
      </c>
      <c r="G17" s="5" t="s">
        <v>16</v>
      </c>
      <c r="H17" s="4"/>
    </row>
    <row r="18" customFormat="false" ht="15" hidden="false" customHeight="false" outlineLevel="0" collapsed="false">
      <c r="A18" s="4" t="s">
        <v>88</v>
      </c>
      <c r="B18" s="4" t="s">
        <v>83</v>
      </c>
      <c r="C18" s="4" t="s">
        <v>89</v>
      </c>
      <c r="D18" s="4" t="s">
        <v>90</v>
      </c>
      <c r="E18" s="4" t="s">
        <v>91</v>
      </c>
      <c r="F18" s="4" t="s">
        <v>33</v>
      </c>
      <c r="G18" s="5" t="s">
        <v>16</v>
      </c>
      <c r="H18" s="4"/>
    </row>
    <row r="19" customFormat="false" ht="23.85" hidden="false" customHeight="false" outlineLevel="0" collapsed="false">
      <c r="A19" s="4" t="s">
        <v>92</v>
      </c>
      <c r="B19" s="4" t="s">
        <v>93</v>
      </c>
      <c r="C19" s="4" t="s">
        <v>94</v>
      </c>
      <c r="D19" s="4" t="s">
        <v>95</v>
      </c>
      <c r="E19" s="4" t="s">
        <v>96</v>
      </c>
      <c r="F19" s="4" t="s">
        <v>33</v>
      </c>
      <c r="G19" s="5" t="s">
        <v>16</v>
      </c>
      <c r="H19" s="4"/>
    </row>
    <row r="20" customFormat="false" ht="23.85" hidden="false" customHeight="false" outlineLevel="0" collapsed="false">
      <c r="A20" s="4" t="s">
        <v>97</v>
      </c>
      <c r="B20" s="4" t="s">
        <v>93</v>
      </c>
      <c r="C20" s="4" t="s">
        <v>98</v>
      </c>
      <c r="D20" s="4" t="s">
        <v>99</v>
      </c>
      <c r="E20" s="4" t="s">
        <v>100</v>
      </c>
      <c r="F20" s="4" t="s">
        <v>33</v>
      </c>
      <c r="G20" s="5" t="s">
        <v>16</v>
      </c>
      <c r="H20" s="4"/>
    </row>
    <row r="21" customFormat="false" ht="15" hidden="false" customHeight="false" outlineLevel="0" collapsed="false">
      <c r="A21" s="4" t="s">
        <v>101</v>
      </c>
      <c r="B21" s="4" t="s">
        <v>93</v>
      </c>
      <c r="C21" s="4" t="s">
        <v>102</v>
      </c>
      <c r="D21" s="4" t="s">
        <v>103</v>
      </c>
      <c r="E21" s="4" t="s">
        <v>104</v>
      </c>
      <c r="F21" s="4" t="s">
        <v>33</v>
      </c>
      <c r="G21" s="5" t="s">
        <v>16</v>
      </c>
      <c r="H21" s="4"/>
    </row>
    <row r="22" customFormat="false" ht="23.85" hidden="false" customHeight="false" outlineLevel="0" collapsed="false">
      <c r="A22" s="4" t="s">
        <v>105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33</v>
      </c>
      <c r="G22" s="5" t="s">
        <v>16</v>
      </c>
      <c r="H22" s="4"/>
    </row>
    <row r="23" customFormat="false" ht="15" hidden="false" customHeight="false" outlineLevel="0" collapsed="false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114</v>
      </c>
      <c r="F23" s="4" t="s">
        <v>33</v>
      </c>
      <c r="G23" s="5" t="s">
        <v>16</v>
      </c>
      <c r="H23" s="4"/>
    </row>
    <row r="24" customFormat="false" ht="23.85" hidden="false" customHeight="false" outlineLevel="0" collapsed="false">
      <c r="A24" s="4" t="s">
        <v>115</v>
      </c>
      <c r="B24" s="4" t="s">
        <v>111</v>
      </c>
      <c r="C24" s="4" t="s">
        <v>116</v>
      </c>
      <c r="D24" s="4" t="s">
        <v>117</v>
      </c>
      <c r="E24" s="4" t="s">
        <v>118</v>
      </c>
      <c r="F24" s="4" t="s">
        <v>33</v>
      </c>
      <c r="G24" s="5" t="s">
        <v>16</v>
      </c>
      <c r="H24" s="4"/>
    </row>
    <row r="25" customFormat="false" ht="15" hidden="false" customHeight="false" outlineLevel="0" collapsed="false">
      <c r="A25" s="4" t="s">
        <v>119</v>
      </c>
      <c r="B25" s="4" t="s">
        <v>120</v>
      </c>
      <c r="C25" s="4" t="s">
        <v>121</v>
      </c>
      <c r="D25" s="4" t="s">
        <v>113</v>
      </c>
      <c r="E25" s="4" t="s">
        <v>122</v>
      </c>
      <c r="F25" s="4" t="s">
        <v>123</v>
      </c>
      <c r="G25" s="5" t="s">
        <v>16</v>
      </c>
      <c r="H25" s="4"/>
    </row>
    <row r="26" customFormat="false" ht="23.85" hidden="false" customHeight="false" outlineLevel="0" collapsed="false">
      <c r="A26" s="4" t="s">
        <v>124</v>
      </c>
      <c r="B26" s="4" t="s">
        <v>125</v>
      </c>
      <c r="C26" s="4" t="s">
        <v>126</v>
      </c>
      <c r="D26" s="4" t="s">
        <v>127</v>
      </c>
      <c r="E26" s="4" t="s">
        <v>128</v>
      </c>
      <c r="F26" s="4" t="s">
        <v>33</v>
      </c>
      <c r="G26" s="5" t="s">
        <v>16</v>
      </c>
      <c r="H26" s="4"/>
    </row>
    <row r="27" customFormat="false" ht="23.85" hidden="false" customHeight="false" outlineLevel="0" collapsed="false">
      <c r="A27" s="4" t="s">
        <v>129</v>
      </c>
      <c r="B27" s="4" t="s">
        <v>125</v>
      </c>
      <c r="C27" s="4" t="s">
        <v>130</v>
      </c>
      <c r="D27" s="4" t="s">
        <v>131</v>
      </c>
      <c r="E27" s="4" t="s">
        <v>132</v>
      </c>
      <c r="F27" s="4" t="s">
        <v>33</v>
      </c>
      <c r="G27" s="5" t="s">
        <v>16</v>
      </c>
      <c r="H27" s="4"/>
    </row>
    <row r="28" customFormat="false" ht="35.05" hidden="false" customHeight="false" outlineLevel="0" collapsed="false">
      <c r="A28" s="4" t="s">
        <v>133</v>
      </c>
      <c r="B28" s="4" t="s">
        <v>134</v>
      </c>
      <c r="C28" s="4" t="s">
        <v>135</v>
      </c>
      <c r="D28" s="4" t="s">
        <v>136</v>
      </c>
      <c r="E28" s="4" t="s">
        <v>137</v>
      </c>
      <c r="F28" s="4" t="s">
        <v>33</v>
      </c>
      <c r="G28" s="5" t="s">
        <v>16</v>
      </c>
      <c r="H28" s="4"/>
    </row>
    <row r="29" customFormat="false" ht="35.05" hidden="false" customHeight="false" outlineLevel="0" collapsed="false">
      <c r="A29" s="4" t="s">
        <v>138</v>
      </c>
      <c r="B29" s="4" t="s">
        <v>134</v>
      </c>
      <c r="C29" s="4" t="s">
        <v>139</v>
      </c>
      <c r="D29" s="4" t="s">
        <v>140</v>
      </c>
      <c r="E29" s="4" t="s">
        <v>141</v>
      </c>
      <c r="F29" s="4" t="s">
        <v>33</v>
      </c>
      <c r="G29" s="5" t="s">
        <v>16</v>
      </c>
      <c r="H29" s="4"/>
    </row>
    <row r="30" customFormat="false" ht="23.85" hidden="false" customHeight="false" outlineLevel="0" collapsed="false">
      <c r="A30" s="4" t="s">
        <v>142</v>
      </c>
      <c r="B30" s="4" t="s">
        <v>143</v>
      </c>
      <c r="C30" s="4" t="s">
        <v>144</v>
      </c>
      <c r="D30" s="4" t="s">
        <v>145</v>
      </c>
      <c r="E30" s="4" t="s">
        <v>146</v>
      </c>
      <c r="F30" s="4" t="s">
        <v>33</v>
      </c>
      <c r="G30" s="5" t="s">
        <v>16</v>
      </c>
      <c r="H30" s="4"/>
    </row>
    <row r="31" customFormat="false" ht="23.85" hidden="false" customHeight="false" outlineLevel="0" collapsed="false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151</v>
      </c>
      <c r="F31" s="4" t="s">
        <v>152</v>
      </c>
      <c r="G31" s="5" t="s">
        <v>16</v>
      </c>
      <c r="H31" s="4"/>
    </row>
    <row r="32" customFormat="false" ht="35.05" hidden="false" customHeight="false" outlineLevel="0" collapsed="false">
      <c r="A32" s="4" t="s">
        <v>153</v>
      </c>
      <c r="B32" s="4" t="s">
        <v>154</v>
      </c>
      <c r="C32" s="4" t="s">
        <v>155</v>
      </c>
      <c r="D32" s="4" t="s">
        <v>156</v>
      </c>
      <c r="E32" s="4" t="s">
        <v>157</v>
      </c>
      <c r="F32" s="4" t="s">
        <v>33</v>
      </c>
      <c r="G32" s="5" t="s">
        <v>16</v>
      </c>
      <c r="H32" s="4"/>
    </row>
    <row r="33" customFormat="false" ht="23.85" hidden="false" customHeight="false" outlineLevel="0" collapsed="false">
      <c r="A33" s="4" t="s">
        <v>158</v>
      </c>
      <c r="B33" s="4" t="s">
        <v>35</v>
      </c>
      <c r="C33" s="4" t="s">
        <v>159</v>
      </c>
      <c r="D33" s="4" t="s">
        <v>160</v>
      </c>
      <c r="E33" s="4" t="s">
        <v>161</v>
      </c>
      <c r="F33" s="4" t="s">
        <v>33</v>
      </c>
      <c r="G33" s="5" t="s">
        <v>16</v>
      </c>
      <c r="H33" s="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7" t="s">
        <v>162</v>
      </c>
    </row>
    <row r="3" customFormat="false" ht="15" hidden="false" customHeight="false" outlineLevel="0" collapsed="false">
      <c r="A3" s="8" t="s">
        <v>163</v>
      </c>
      <c r="B3" s="9" t="n">
        <f aca="false">COUNTA('QA Test Sheet'!A5:A100)-COUNTBLANK('QA Test Sheet'!A5:A100)</f>
        <v>-38</v>
      </c>
    </row>
    <row r="4" customFormat="false" ht="15" hidden="false" customHeight="false" outlineLevel="0" collapsed="false">
      <c r="A4" s="8" t="s">
        <v>164</v>
      </c>
      <c r="B4" s="9" t="n">
        <v>29</v>
      </c>
    </row>
    <row r="5" customFormat="false" ht="15" hidden="false" customHeight="false" outlineLevel="0" collapsed="false">
      <c r="A5" s="8" t="s">
        <v>165</v>
      </c>
      <c r="B5" s="9" t="n">
        <v>2</v>
      </c>
    </row>
    <row r="6" customFormat="false" ht="15" hidden="false" customHeight="false" outlineLevel="0" collapsed="false">
      <c r="A6" s="8" t="s">
        <v>166</v>
      </c>
      <c r="B6" s="9" t="n">
        <v>2</v>
      </c>
    </row>
    <row r="7" customFormat="false" ht="15" hidden="false" customHeight="false" outlineLevel="0" collapsed="false">
      <c r="A7" s="8" t="s">
        <v>167</v>
      </c>
      <c r="B7" s="9" t="n">
        <f aca="false">COUNTIF('QA Test Sheet'!G5:G100,"Pass")</f>
        <v>27</v>
      </c>
    </row>
    <row r="8" customFormat="false" ht="15" hidden="false" customHeight="false" outlineLevel="0" collapsed="false">
      <c r="A8" s="8" t="s">
        <v>168</v>
      </c>
      <c r="B8" s="9" t="n">
        <f aca="false">COUNTIF('QA Test Sheet'!G5:G100,"Fixed")</f>
        <v>2</v>
      </c>
    </row>
    <row r="9" customFormat="false" ht="15" hidden="false" customHeight="false" outlineLevel="0" collapsed="false">
      <c r="A9" s="8" t="s">
        <v>169</v>
      </c>
      <c r="B9" s="9" t="n">
        <f aca="false">COUNTIF('QA Test Sheet'!G5:G100,"Fail")</f>
        <v>0</v>
      </c>
    </row>
    <row r="11" customFormat="false" ht="15" hidden="false" customHeight="false" outlineLevel="0" collapsed="false">
      <c r="A11" s="10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2026-08-21T05:03:21Z</dcterms:created>
  <dc:creator>openpyxl</dc:creator>
  <dc:description/>
  <dc:language>en-US</dc:language>
  <cp:lastModifiedBy/>
  <dcterms:modified xsi:type="dcterms:W3CDTF">2026-08-21T05:03:21Z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